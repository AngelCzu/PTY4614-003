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4\"/>
    </mc:Choice>
  </mc:AlternateContent>
  <xr:revisionPtr revIDLastSave="0" documentId="13_ncr:1_{E834C442-C89B-4581-9390-F6F50AD24945}"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E13" i="1"/>
  <c r="E14" i="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<sst xmlns="http://schemas.openxmlformats.org/spreadsheetml/2006/main" count="143" uniqueCount="79">
  <si>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</si>
  <si>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</si>
  <si>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</si>
  <si>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</si>
  <si>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</si>
  <si>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</si>
  <si>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</si>
  <si>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</si>
  <si>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</si>
  <si>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</si>
  <si>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</si>
  <si>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</si>
  <si>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</si>
  <si>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</si>
  <si>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</si>
  <si>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</si>
  <si>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</si>
  <si>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</si>
  <si>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</si>
  <si>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</si>
  <si>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</si>
  <si>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</si>
  <si>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</si>
  <si>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</si>
  <si>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</si>
  <si>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</si>
  <si>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</si>
  <si>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</si>
  <si>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</si>
  <si>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</si>
  <si>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</si>
  <si>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</si>
  <si>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</si>
  <si>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</si>
  <si>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</si>
  <si>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</si>
  <si>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</si>
  <si>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</si>
  <si>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</si>
  <si>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</si>
  <si>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</si>
  <si>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</si>
  <si>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</si>
  <si>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</si>
  <si>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</si>
  <si>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</si>
  <si>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</si>
  <si>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</si>
  <si>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</si>
  <si>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</si>
  <si>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</si>
  <si>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</si>
  <si>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</si>
  <si>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</si>
  <si>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</si>
  <si>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</si>
  <si>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</si>
  <si>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</si>
  <si>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</si>
  <si>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</si>
  <si>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</si>
  <si>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</si>
  <si>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</si>
  <si>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</si>
  <si>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</si>
  <si>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</si>
  <si>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</si>
  <si>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</si>
  <si>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</si>
  <si>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</si>
  <si>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</si>
  <si>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</si>
  <si>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</si>
  <si>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</si>
  <si>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</si>
  <si>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</si>
  <si>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</si>
  <si>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Cristopher Arredondo</t>
  </si>
  <si>
    <t>Angel Cea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</si>
</sst>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6" sqref="F16"/>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77</v>
      </c>
      <c r="C4" s="5">
        <f>EVALUACION1!$C$21</f>
        <v>6.2</v>
      </c>
      <c r="D4" s="5">
        <f>$C$32</f>
        <v>7</v>
      </c>
      <c r="E4" s="6">
        <f>C4*C$2+D4*D$2</f>
        <v>6.4</v>
      </c>
      <c r="G4" s="1"/>
    </row>
    <row r="5" spans="1:11">
      <c r="A5" s="4">
        <v>2</v>
      </c>
      <c r="B5" s="27" t="s">
        <v>78</v>
      </c>
      <c r="C5" s="5">
        <f>EVALUACION1!$C$21</f>
        <v>6.2</v>
      </c>
      <c r="D5" s="5">
        <f>C44</f>
        <v>7</v>
      </c>
      <c r="E5" s="6">
        <f t="shared" ref="E5:E6" si="0">C5*C$2+D5*D$2</f>
        <v>6.4</v>
      </c>
      <c r="G5" s="1"/>
    </row>
    <row r="6" spans="1:11">
      <c r="A6" s="4">
        <v>3</v>
      </c>
      <c r="B6" s="27"/>
      <c r="C6" s="5">
        <f>EVALUACION1!$C$21</f>
        <v>6.2</v>
      </c>
      <c r="D6" s="5">
        <f>C55</f>
        <v>7</v>
      </c>
      <c r="E6" s="6">
        <f t="shared" si="0"/>
        <v>6.4</v>
      </c>
      <c r="G6" s="1"/>
    </row>
    <row r="11" spans="1:11" ht="18.75" outlineLevel="1">
      <c r="A11" s="69" t="s">
        <v>58</v>
      </c>
      <c r="B11" s="14"/>
      <c r="C11" s="61" t="s">
        <v>60</v>
      </c>
      <c r="D11" s="62" t="s">
        <v>61</v>
      </c>
      <c r="E11" s="63"/>
      <c r="F11" s="63"/>
      <c r="G11" s="63"/>
      <c r="H11" s="63"/>
      <c r="I11" s="63"/>
      <c r="J11" s="63"/>
      <c r="K11" s="64"/>
    </row>
    <row r="12" spans="1:11" outlineLevel="1">
      <c r="A12" s="67"/>
      <c r="B12" s="24" t="s">
        <v>62</v>
      </c>
      <c r="C12" s="54"/>
      <c r="D12" s="62" t="s">
        <v>63</v>
      </c>
      <c r="E12" s="64"/>
      <c r="F12" s="62" t="s">
        <v>64</v>
      </c>
      <c r="G12" s="64"/>
      <c r="H12" s="65" t="s">
        <v>65</v>
      </c>
      <c r="I12" s="64"/>
      <c r="J12" s="62" t="s">
        <v>6</v>
      </c>
      <c r="K12" s="64"/>
    </row>
    <row r="13" spans="1:11" ht="24" outlineLevel="1">
      <c r="A13" s="70"/>
      <c r="B13" s="30" t="str">
        <f>RUBRICA!A4</f>
        <v>1. Implementa una metodología que permite el logro de los objetivos propuestos, de acuerdo a los estándares de la disciplina.</v>
      </c>
      <c r="C13" s="28" t="s">
        <v>63</v>
      </c>
      <c r="D13" s="16" t="s">
        <v>76</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76</v>
      </c>
      <c r="G14" s="16">
        <f>IF(F14="X",60*0.2,"")</f>
        <v>12</v>
      </c>
      <c r="H14" s="16" t="str">
        <f t="shared" si="1"/>
        <v/>
      </c>
      <c r="I14" s="16" t="str">
        <f>IF(H14="X",30*0.2,"")</f>
        <v/>
      </c>
      <c r="J14" s="16" t="str">
        <f t="shared" si="2"/>
        <v/>
      </c>
      <c r="K14" s="16" t="str">
        <f t="shared" si="3"/>
        <v/>
      </c>
    </row>
    <row r="15" spans="1:11" ht="24" outlineLevel="1">
      <c r="A15" s="70"/>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c r="A16" s="70"/>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4">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t="s">
        <v>76</v>
      </c>
      <c r="E18" s="16">
        <f>IF(D18="X",100*0.15,"")</f>
        <v>15</v>
      </c>
      <c r="F18" s="16"/>
      <c r="G18" s="16" t="str">
        <f>IF(F18="X",60*0.15,"")</f>
        <v/>
      </c>
      <c r="H18" s="16" t="str">
        <f>IF($C18=ML,"X","")</f>
        <v/>
      </c>
      <c r="I18" s="16" t="str">
        <f>IF(H18="X",30*0.15,"")</f>
        <v/>
      </c>
      <c r="J18" s="16" t="str">
        <f>IF($C18=NL,"X","")</f>
        <v/>
      </c>
      <c r="K18" s="16" t="str">
        <f t="shared" si="4"/>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c r="A20" s="67"/>
      <c r="B20" s="29" t="s">
        <v>66</v>
      </c>
      <c r="C20" s="33">
        <f>E20+G20+I20+K20</f>
        <v>67</v>
      </c>
      <c r="D20" s="19"/>
      <c r="E20" s="19">
        <f>SUM(E13:E19)</f>
        <v>55</v>
      </c>
      <c r="F20" s="19"/>
      <c r="G20" s="19">
        <f>SUM(G13:G19)</f>
        <v>12</v>
      </c>
      <c r="H20" s="19"/>
      <c r="I20" s="19">
        <f>SUM(I13:I19)</f>
        <v>0</v>
      </c>
      <c r="J20" s="19"/>
      <c r="K20" s="19">
        <f>SUM(K13:K19)</f>
        <v>0</v>
      </c>
    </row>
    <row r="21" spans="1:11" ht="15.75" customHeight="1" outlineLevel="1">
      <c r="A21" s="54"/>
      <c r="B21" s="32" t="s">
        <v>67</v>
      </c>
      <c r="C21" s="20">
        <f>VLOOKUP(C20,ESCALA_IEP!A1:B152,2,FALSE)</f>
        <v>6.2</v>
      </c>
    </row>
    <row r="22" spans="1:11" ht="15.75" customHeight="1"/>
    <row r="23" spans="1:11" ht="15.75" customHeight="1"/>
    <row r="24" spans="1:11" ht="15.75" customHeight="1">
      <c r="A24" s="66" t="s">
        <v>59</v>
      </c>
      <c r="B24" s="53" t="s">
        <v>68</v>
      </c>
      <c r="C24" s="55" t="str">
        <f>$B$4</f>
        <v>Cristopher Arredondo</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4" t="s">
        <v>69</v>
      </c>
      <c r="C26" s="61" t="s">
        <v>60</v>
      </c>
      <c r="D26" s="62" t="s">
        <v>61</v>
      </c>
      <c r="E26" s="63"/>
      <c r="F26" s="63"/>
      <c r="G26" s="63"/>
      <c r="H26" s="63"/>
      <c r="I26" s="63"/>
      <c r="J26" s="63"/>
      <c r="K26" s="64"/>
    </row>
    <row r="27" spans="1:11" ht="15.75" customHeight="1">
      <c r="A27" s="67"/>
      <c r="B27" s="15" t="s">
        <v>62</v>
      </c>
      <c r="C27" s="54"/>
      <c r="D27" s="62" t="s">
        <v>63</v>
      </c>
      <c r="E27" s="64"/>
      <c r="F27" s="62" t="s">
        <v>64</v>
      </c>
      <c r="G27" s="64"/>
      <c r="H27" s="65" t="s">
        <v>65</v>
      </c>
      <c r="I27" s="64"/>
      <c r="J27" s="62" t="s">
        <v>6</v>
      </c>
      <c r="K27" s="64"/>
    </row>
    <row r="28" spans="1:11">
      <c r="A28" s="67"/>
      <c r="B28" s="30" t="str">
        <f>RUBRICA!A6</f>
        <v>3. Relaciona el Proyecto APT con sus intereses profesionales. *</v>
      </c>
      <c r="C28" s="28" t="s">
        <v>63</v>
      </c>
      <c r="D28" s="16" t="str">
        <f t="shared" ref="D28:D30" si="5">IF($C28=CL,"X","")</f>
        <v>X</v>
      </c>
      <c r="E28" s="16">
        <f>IF(D28="X",100*0.05,"")</f>
        <v>5</v>
      </c>
      <c r="F28" s="16" t="str">
        <f t="shared" ref="F28:F30" si="6">IF($C28=L,"X","")</f>
        <v/>
      </c>
      <c r="G28" s="16" t="str">
        <f>IF(F28="X",60*0.05,"")</f>
        <v/>
      </c>
      <c r="H28" s="16" t="str">
        <f t="shared" ref="H28:H30" si="7">IF($C28=ML,"X","")</f>
        <v/>
      </c>
      <c r="I28" s="16" t="str">
        <f>IF(H28="X",30*0.05,"")</f>
        <v/>
      </c>
      <c r="J28" s="16" t="str">
        <f t="shared" ref="J28:J30" si="8">IF($C28=NL,"X","")</f>
        <v/>
      </c>
      <c r="K28" s="16" t="str">
        <f t="shared" ref="K28:K30" si="9">IF($J28="X",0,"")</f>
        <v/>
      </c>
    </row>
    <row r="29" spans="1:11" ht="24.6" customHeight="1">
      <c r="A29" s="67"/>
      <c r="B29" s="30" t="str">
        <f>RUBRICA!A11</f>
        <v>8. Expone el tema utilizando un lenguaje técnico disciplinar al presentar la propuesta y responde evidenciando un manejo de la información. *</v>
      </c>
      <c r="C29" s="28" t="s">
        <v>63</v>
      </c>
      <c r="D29" s="16" t="str">
        <f t="shared" si="5"/>
        <v>X</v>
      </c>
      <c r="E29" s="16">
        <f>IF(D29="X",100*0.1,"")</f>
        <v>10</v>
      </c>
      <c r="F29" s="16" t="str">
        <f t="shared" si="6"/>
        <v/>
      </c>
      <c r="G29" s="16" t="str">
        <f>IF(F29="X",60*0.1,"")</f>
        <v/>
      </c>
      <c r="H29" s="16" t="str">
        <f t="shared" si="7"/>
        <v/>
      </c>
      <c r="I29" s="16" t="str">
        <f>IF(H29="X",30*0.1,"")</f>
        <v/>
      </c>
      <c r="J29" s="16" t="str">
        <f t="shared" si="8"/>
        <v/>
      </c>
      <c r="K29" s="16" t="str">
        <f t="shared" si="9"/>
        <v/>
      </c>
    </row>
    <row r="30" spans="1:11" ht="25.9" customHeight="1">
      <c r="A30" s="67"/>
      <c r="B30" s="30" t="str">
        <f>RUBRICA!A13</f>
        <v>10. Colaboración y trabajo en equipo *</v>
      </c>
      <c r="C30" s="28" t="s">
        <v>63</v>
      </c>
      <c r="D30" s="16" t="str">
        <f t="shared" si="5"/>
        <v>X</v>
      </c>
      <c r="E30" s="16">
        <f>IF(D30="X",100*0.1,"")</f>
        <v>10</v>
      </c>
      <c r="F30" s="16" t="str">
        <f t="shared" si="6"/>
        <v/>
      </c>
      <c r="G30" s="16" t="str">
        <f>IF(F30="X",60*0.1,"")</f>
        <v/>
      </c>
      <c r="H30" s="16" t="str">
        <f t="shared" si="7"/>
        <v/>
      </c>
      <c r="I30" s="16" t="str">
        <f>IF(H30="X",30*0.1,"")</f>
        <v/>
      </c>
      <c r="J30" s="16" t="str">
        <f t="shared" si="8"/>
        <v/>
      </c>
      <c r="K30" s="16" t="str">
        <f t="shared" si="9"/>
        <v/>
      </c>
    </row>
    <row r="31" spans="1:11" ht="15.75" customHeight="1">
      <c r="A31" s="67"/>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6" t="s">
        <v>59</v>
      </c>
      <c r="B36" s="53" t="s">
        <v>68</v>
      </c>
      <c r="C36" s="55" t="str">
        <f>B5</f>
        <v>Angel Cea</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4" t="s">
        <v>69</v>
      </c>
      <c r="C38" s="61" t="s">
        <v>60</v>
      </c>
      <c r="D38" s="62" t="s">
        <v>61</v>
      </c>
      <c r="E38" s="63"/>
      <c r="F38" s="63"/>
      <c r="G38" s="63"/>
      <c r="H38" s="63"/>
      <c r="I38" s="63"/>
      <c r="J38" s="63"/>
      <c r="K38" s="64"/>
    </row>
    <row r="39" spans="1:11" ht="15.75" customHeight="1">
      <c r="A39" s="67"/>
      <c r="B39" s="15" t="s">
        <v>62</v>
      </c>
      <c r="C39" s="54"/>
      <c r="D39" s="62" t="s">
        <v>63</v>
      </c>
      <c r="E39" s="64"/>
      <c r="F39" s="62" t="s">
        <v>64</v>
      </c>
      <c r="G39" s="64"/>
      <c r="H39" s="65" t="s">
        <v>65</v>
      </c>
      <c r="I39" s="64"/>
      <c r="J39" s="62" t="s">
        <v>6</v>
      </c>
      <c r="K39" s="64"/>
    </row>
    <row r="40" spans="1:11" ht="15.75" customHeight="1">
      <c r="A40" s="67"/>
      <c r="B40" s="30" t="str">
        <f>RUBRICA!A6</f>
        <v>3. Relaciona el Proyecto APT con sus intereses profesionales. *</v>
      </c>
      <c r="C40" s="28" t="s">
        <v>63</v>
      </c>
      <c r="D40" s="16" t="str">
        <f t="shared" ref="D40:D42" si="10">IF($C40=CL,"X","")</f>
        <v>X</v>
      </c>
      <c r="E40" s="16">
        <f>IF(D40="X",100*0.05,"")</f>
        <v>5</v>
      </c>
      <c r="F40" s="16" t="str">
        <f t="shared" ref="F40:F42" si="11">IF($C40=L,"X","")</f>
        <v/>
      </c>
      <c r="G40" s="16" t="str">
        <f>IF(F40="X",60*0.05,"")</f>
        <v/>
      </c>
      <c r="H40" s="16" t="str">
        <f t="shared" ref="H40:H42" si="12">IF($C40=ML,"X","")</f>
        <v/>
      </c>
      <c r="I40" s="16" t="str">
        <f>IF(H40="X",30*0.05,"")</f>
        <v/>
      </c>
      <c r="J40" s="16" t="str">
        <f t="shared" ref="J40:J42" si="13">IF($C40=NL,"X","")</f>
        <v/>
      </c>
      <c r="K40" s="16" t="str">
        <f t="shared" ref="K40:K42" si="14">IF($J40="X",0,"")</f>
        <v/>
      </c>
    </row>
    <row r="41" spans="1:11" ht="25.9" customHeight="1">
      <c r="A41" s="67"/>
      <c r="B41" s="30" t="str">
        <f>RUBRICA!A11</f>
        <v>8. Expone el tema utilizando un lenguaje técnico disciplinar al presentar la propuesta y responde evidenciando un manejo de la información. *</v>
      </c>
      <c r="C41" s="28" t="s">
        <v>63</v>
      </c>
      <c r="D41" s="16" t="str">
        <f t="shared" si="10"/>
        <v>X</v>
      </c>
      <c r="E41" s="16">
        <f>IF(D41="X",100*0.1,"")</f>
        <v>10</v>
      </c>
      <c r="F41" s="16" t="str">
        <f t="shared" si="11"/>
        <v/>
      </c>
      <c r="G41" s="16" t="str">
        <f>IF(F41="X",60*0.1,"")</f>
        <v/>
      </c>
      <c r="H41" s="16" t="str">
        <f t="shared" si="12"/>
        <v/>
      </c>
      <c r="I41" s="16" t="str">
        <f>IF(H41="X",30*0.1,"")</f>
        <v/>
      </c>
      <c r="J41" s="16" t="str">
        <f t="shared" si="13"/>
        <v/>
      </c>
      <c r="K41" s="16" t="str">
        <f t="shared" si="14"/>
        <v/>
      </c>
    </row>
    <row r="42" spans="1:11">
      <c r="A42" s="67"/>
      <c r="B42" s="30" t="str">
        <f>RUBRICA!A13</f>
        <v>10. Colaboración y trabajo en equipo *</v>
      </c>
      <c r="C42" s="28" t="s">
        <v>63</v>
      </c>
      <c r="D42" s="16" t="str">
        <f t="shared" si="10"/>
        <v>X</v>
      </c>
      <c r="E42" s="16">
        <f>IF(D42="X",100*0.1,"")</f>
        <v>10</v>
      </c>
      <c r="F42" s="16" t="str">
        <f t="shared" si="11"/>
        <v/>
      </c>
      <c r="G42" s="16" t="str">
        <f>IF(F42="X",60*0.1,"")</f>
        <v/>
      </c>
      <c r="H42" s="16" t="str">
        <f t="shared" si="12"/>
        <v/>
      </c>
      <c r="I42" s="16" t="str">
        <f>IF(H42="X",30*0.1,"")</f>
        <v/>
      </c>
      <c r="J42" s="16" t="str">
        <f t="shared" si="13"/>
        <v/>
      </c>
      <c r="K42" s="16" t="str">
        <f t="shared" si="14"/>
        <v/>
      </c>
    </row>
    <row r="43" spans="1:11" ht="15.75" customHeight="1">
      <c r="A43" s="67"/>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6" t="s">
        <v>59</v>
      </c>
      <c r="B47" s="53" t="s">
        <v>68</v>
      </c>
      <c r="C47" s="55">
        <f>B6</f>
        <v>0</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4" t="s">
        <v>69</v>
      </c>
      <c r="C49" s="61" t="s">
        <v>60</v>
      </c>
      <c r="D49" s="62" t="s">
        <v>61</v>
      </c>
      <c r="E49" s="63"/>
      <c r="F49" s="63"/>
      <c r="G49" s="63"/>
      <c r="H49" s="63"/>
      <c r="I49" s="63"/>
      <c r="J49" s="63"/>
      <c r="K49" s="64"/>
    </row>
    <row r="50" spans="1:11" ht="15.75" customHeight="1">
      <c r="A50" s="67"/>
      <c r="B50" s="15" t="s">
        <v>62</v>
      </c>
      <c r="C50" s="54"/>
      <c r="D50" s="62" t="s">
        <v>63</v>
      </c>
      <c r="E50" s="64"/>
      <c r="F50" s="62" t="s">
        <v>64</v>
      </c>
      <c r="G50" s="64"/>
      <c r="H50" s="65" t="s">
        <v>65</v>
      </c>
      <c r="I50" s="64"/>
      <c r="J50" s="62" t="s">
        <v>6</v>
      </c>
      <c r="K50" s="64"/>
    </row>
    <row r="51" spans="1:11" ht="15.75" customHeight="1">
      <c r="A51" s="67"/>
      <c r="B51" s="30" t="str">
        <f>RUBRICA!A6</f>
        <v>3. Relaciona el Proyecto APT con sus intereses profesionales. *</v>
      </c>
      <c r="C51" s="28" t="s">
        <v>63</v>
      </c>
      <c r="D51" s="16" t="str">
        <f t="shared" ref="D51:D53" si="15">IF($C51=CL,"X","")</f>
        <v>X</v>
      </c>
      <c r="E51" s="16">
        <f>IF(D51="X",100*0.05,"")</f>
        <v>5</v>
      </c>
      <c r="F51" s="16" t="str">
        <f t="shared" ref="F51:F53" si="16">IF($C51=L,"X","")</f>
        <v/>
      </c>
      <c r="G51" s="16" t="str">
        <f>IF(F51="X",60*0.05,"")</f>
        <v/>
      </c>
      <c r="H51" s="16" t="str">
        <f t="shared" ref="H51:H53" si="17">IF($C51=ML,"X","")</f>
        <v/>
      </c>
      <c r="I51" s="16" t="str">
        <f>IF(H51="X",30*0.05,"")</f>
        <v/>
      </c>
      <c r="J51" s="16" t="str">
        <f t="shared" ref="J51:J53" si="18">IF($C51=NL,"X","")</f>
        <v/>
      </c>
      <c r="K51" s="16" t="str">
        <f t="shared" ref="K51:K53" si="19">IF($J51="X",0,"")</f>
        <v/>
      </c>
    </row>
    <row r="52" spans="1:11" ht="25.9" customHeight="1">
      <c r="A52" s="67"/>
      <c r="B52" s="30" t="str">
        <f>RUBRICA!A11</f>
        <v>8. Expone el tema utilizando un lenguaje técnico disciplinar al presentar la propuesta y responde evidenciando un manejo de la información. *</v>
      </c>
      <c r="C52" s="28" t="s">
        <v>63</v>
      </c>
      <c r="D52" s="16" t="str">
        <f t="shared" si="15"/>
        <v>X</v>
      </c>
      <c r="E52" s="16">
        <f>IF(D52="X",100*0.1,"")</f>
        <v>10</v>
      </c>
      <c r="F52" s="16" t="str">
        <f t="shared" si="16"/>
        <v/>
      </c>
      <c r="G52" s="16" t="str">
        <f>IF(F52="X",60*0.1,"")</f>
        <v/>
      </c>
      <c r="H52" s="16" t="str">
        <f t="shared" si="17"/>
        <v/>
      </c>
      <c r="I52" s="16" t="str">
        <f>IF(H52="X",30*0.1,"")</f>
        <v/>
      </c>
      <c r="J52" s="16" t="str">
        <f t="shared" si="18"/>
        <v/>
      </c>
      <c r="K52" s="16" t="str">
        <f t="shared" si="19"/>
        <v/>
      </c>
    </row>
    <row r="53" spans="1:11">
      <c r="A53" s="67"/>
      <c r="B53" s="30" t="str">
        <f>RUBRICA!A13</f>
        <v>10. Colaboración y trabajo en equipo *</v>
      </c>
      <c r="C53" s="28" t="s">
        <v>63</v>
      </c>
      <c r="D53" s="16" t="str">
        <f t="shared" si="15"/>
        <v>X</v>
      </c>
      <c r="E53" s="16">
        <f>IF(D53="X",100*0.1,"")</f>
        <v>10</v>
      </c>
      <c r="F53" s="16" t="str">
        <f t="shared" si="16"/>
        <v/>
      </c>
      <c r="G53" s="16" t="str">
        <f>IF(F53="X",60*0.1,"")</f>
        <v/>
      </c>
      <c r="H53" s="16" t="str">
        <f t="shared" si="17"/>
        <v/>
      </c>
      <c r="I53" s="16" t="str">
        <f>IF(H53="X",30*0.1,"")</f>
        <v/>
      </c>
      <c r="J53" s="16" t="str">
        <f t="shared" si="18"/>
        <v/>
      </c>
      <c r="K53" s="16" t="str">
        <f t="shared" si="19"/>
        <v/>
      </c>
    </row>
    <row r="54" spans="1:11" ht="15.75" customHeight="1">
      <c r="A54" s="67"/>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Patricio</cp:lastModifiedBy>
  <cp:revision/>
  <dcterms:created xsi:type="dcterms:W3CDTF">2023-08-07T04:08:01Z</dcterms:created>
  <dcterms:modified xsi:type="dcterms:W3CDTF">2025-11-27T12:36:55Z</dcterms:modified>
  <cp:category/>
  <cp:contentStatus/>
</cp:coreProperties>
</file>